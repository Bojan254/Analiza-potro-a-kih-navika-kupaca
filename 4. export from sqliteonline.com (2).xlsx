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7" documentId="11_A5C253DA404D04EFE26F40FB5883B4B1916D77D4" xr6:coauthVersionLast="47" xr6:coauthVersionMax="47" xr10:uidLastSave="{0E4E7D3B-0299-4272-967F-7A4EC765F01E}"/>
  <bookViews>
    <workbookView xWindow="-110" yWindow="-110" windowWidth="19420" windowHeight="11500" xr2:uid="{00000000-000D-0000-FFFF-FFFF00000000}"/>
  </bookViews>
  <sheets>
    <sheet name="Page 1" sheetId="1" r:id="rId1"/>
    <sheet name="SQ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<sst xmlns="http://schemas.openxmlformats.org/spreadsheetml/2006/main" count="15" uniqueCount="15">
  <si>
    <t>year_category</t>
  </si>
  <si>
    <t>Broj_kupaca</t>
  </si>
  <si>
    <t>Avg_Kupovina_na_popust</t>
  </si>
  <si>
    <t>Pct_Nikad</t>
  </si>
  <si>
    <t>Pct_1_2</t>
  </si>
  <si>
    <t>Pct_3_4</t>
  </si>
  <si>
    <t>Pct_preko_6</t>
  </si>
  <si>
    <t>Pct_ukupno_na_popust</t>
  </si>
  <si>
    <t>Do 30</t>
  </si>
  <si>
    <t>Od 30 do 40</t>
  </si>
  <si>
    <t>Od 40 do 50</t>
  </si>
  <si>
    <t>Od 50 do 60</t>
  </si>
  <si>
    <t>Preko 60</t>
  </si>
  <si>
    <t>Page 1</t>
  </si>
  <si>
    <t>SELECT
    Year_category,
    COUNT(ID)                               AS Broj_kupaca,
    ROUND(AVG(NumDealsPurchase), 2)        AS Avg_Kupovina_na_popust,
    ROUND(SUM(CASE WHEN Deals_category = 'Nikad na popustu' 
        THEN 1 ELSE 0 END) * 100.0 
        / COUNT(ID), 1)                     AS Pct_Nikad,
    ROUND(SUM(CASE WHEN Deals_category = '1-2 puta' 
        THEN 1 ELSE 0 END) * 100.0 
        / COUNT(ID), 1)                     AS Pct_1_2,
    ROUND(SUM(CASE WHEN Deals_category = '3-4 puta' 
        THEN 1 ELSE 0 END) * 100.0 
        / COUNT(ID), 1)                     AS Pct_3_4,
    ROUND(SUM(CASE WHEN Deals_category = 'Preko 6 puta' 
        THEN 1 ELSE 0 END) * 100.0 
        / COUNT(ID), 1)                     AS Pct_preko_6,
    ROUND(SUM(CASE WHEN Deals_category != 'Nikad na popustu' 
        THEN 1 ELSE 0 END) * 100.0 
        / COUNT(ID), 1)                     AS Pct_ukupno_na_popust
FROM marketing_clean
GROUP BY Year_category
ORDER BY 
    CASE Year_category
        WHEN 'Do 30'        THEN 1
        WHEN 'Od 30 do 40'  THEN 2
        WHEN 'Od 40 do 50'  THEN 3
        WHEN 'Od 50 do 60'  THEN 4
        WHEN 'Preko 60'     THEN 5
    END;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</si>
</sst>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6AB4AE3-5BF0-4F22-A4ED-E79A4E3D098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C7" sqref="C7"/>
    </sheetView>
  </sheetViews>
  <sheetFormatPr defaultRowHeight="14.5" x14ac:dyDescent="0.35"/>
  <cols>
    <col min="1" max="1" width="12.6328125" bestFit="1" customWidth="1"/>
    <col min="2" max="2" width="11.26953125" bestFit="1" customWidth="1"/>
    <col min="3" max="3" width="22.90625" bestFit="1" customWidth="1"/>
    <col min="4" max="4" width="9.26953125" bestFit="1" customWidth="1"/>
    <col min="5" max="6" width="7.453125" bestFit="1" customWidth="1"/>
    <col min="7" max="7" width="11.36328125" bestFit="1" customWidth="1"/>
    <col min="8" max="8" width="21.17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189</v>
      </c>
      <c r="C2">
        <v>1.6</v>
      </c>
      <c r="D2">
        <v>1.6</v>
      </c>
      <c r="E2">
        <v>84.1</v>
      </c>
      <c r="F2">
        <v>11.1</v>
      </c>
      <c r="G2">
        <v>0.5</v>
      </c>
      <c r="H2">
        <v>98.4</v>
      </c>
    </row>
    <row r="3" spans="1:8" x14ac:dyDescent="0.35">
      <c r="A3" t="s">
        <v>9</v>
      </c>
      <c r="B3">
        <v>506</v>
      </c>
      <c r="C3">
        <v>2.15</v>
      </c>
      <c r="D3">
        <v>2.6</v>
      </c>
      <c r="E3">
        <v>70.2</v>
      </c>
      <c r="F3">
        <v>19</v>
      </c>
      <c r="G3">
        <v>3.6</v>
      </c>
      <c r="H3">
        <v>97.4</v>
      </c>
    </row>
    <row r="4" spans="1:8" x14ac:dyDescent="0.35">
      <c r="A4" t="s">
        <v>10</v>
      </c>
      <c r="B4">
        <v>685</v>
      </c>
      <c r="C4">
        <v>2.58</v>
      </c>
      <c r="D4">
        <v>1.6</v>
      </c>
      <c r="E4">
        <v>59.3</v>
      </c>
      <c r="F4">
        <v>25.4</v>
      </c>
      <c r="G4">
        <v>4.7</v>
      </c>
      <c r="H4">
        <v>98.4</v>
      </c>
    </row>
    <row r="5" spans="1:8" x14ac:dyDescent="0.35">
      <c r="A5" t="s">
        <v>11</v>
      </c>
      <c r="B5">
        <v>492</v>
      </c>
      <c r="C5">
        <v>2.4700000000000002</v>
      </c>
      <c r="D5">
        <v>1.8</v>
      </c>
      <c r="E5">
        <v>62</v>
      </c>
      <c r="F5">
        <v>23.4</v>
      </c>
      <c r="G5">
        <v>4.5</v>
      </c>
      <c r="H5">
        <v>98.2</v>
      </c>
    </row>
    <row r="6" spans="1:8" x14ac:dyDescent="0.35">
      <c r="A6" t="s">
        <v>12</v>
      </c>
      <c r="B6">
        <v>368</v>
      </c>
      <c r="C6">
        <v>2.25</v>
      </c>
      <c r="D6">
        <v>2.7</v>
      </c>
      <c r="E6">
        <v>65.8</v>
      </c>
      <c r="F6">
        <v>21.7</v>
      </c>
      <c r="G6">
        <v>3.5</v>
      </c>
      <c r="H6">
        <v>97.3</v>
      </c>
    </row>
    <row r="7" spans="1:8" x14ac:dyDescent="0.35">
      <c r="B7">
        <f>SUM(B2:B6)</f>
        <v>2240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workbookViewId="0">
      <selection activeCell="B1" sqref="B1:F24"/>
    </sheetView>
  </sheetViews>
  <sheetFormatPr defaultRowHeight="14.5" x14ac:dyDescent="0.35"/>
  <sheetData>
    <row r="1" spans="1:6" x14ac:dyDescent="0.35">
      <c r="A1" t="s">
        <v>13</v>
      </c>
      <c r="B1" s="2" t="s">
        <v>14</v>
      </c>
      <c r="C1" s="2"/>
      <c r="D1" s="2"/>
      <c r="E1" s="2"/>
      <c r="F1" s="2"/>
    </row>
    <row r="2" spans="1:6" x14ac:dyDescent="0.35">
      <c r="B2" s="2"/>
      <c r="C2" s="2"/>
      <c r="D2" s="2"/>
      <c r="E2" s="2"/>
      <c r="F2" s="2"/>
    </row>
    <row r="3" spans="1:6" x14ac:dyDescent="0.35">
      <c r="B3" s="2"/>
      <c r="C3" s="2"/>
      <c r="D3" s="2"/>
      <c r="E3" s="2"/>
      <c r="F3" s="2"/>
    </row>
    <row r="4" spans="1:6" x14ac:dyDescent="0.35">
      <c r="B4" s="2"/>
      <c r="C4" s="2"/>
      <c r="D4" s="2"/>
      <c r="E4" s="2"/>
      <c r="F4" s="2"/>
    </row>
    <row r="5" spans="1:6" x14ac:dyDescent="0.35">
      <c r="B5" s="2"/>
      <c r="C5" s="2"/>
      <c r="D5" s="2"/>
      <c r="E5" s="2"/>
      <c r="F5" s="2"/>
    </row>
    <row r="6" spans="1:6" x14ac:dyDescent="0.35">
      <c r="B6" s="2"/>
      <c r="C6" s="2"/>
      <c r="D6" s="2"/>
      <c r="E6" s="2"/>
      <c r="F6" s="2"/>
    </row>
    <row r="7" spans="1:6" x14ac:dyDescent="0.35">
      <c r="B7" s="2"/>
      <c r="C7" s="2"/>
      <c r="D7" s="2"/>
      <c r="E7" s="2"/>
      <c r="F7" s="2"/>
    </row>
    <row r="8" spans="1:6" x14ac:dyDescent="0.35">
      <c r="B8" s="2"/>
      <c r="C8" s="2"/>
      <c r="D8" s="2"/>
      <c r="E8" s="2"/>
      <c r="F8" s="2"/>
    </row>
    <row r="9" spans="1:6" x14ac:dyDescent="0.35">
      <c r="B9" s="2"/>
      <c r="C9" s="2"/>
      <c r="D9" s="2"/>
      <c r="E9" s="2"/>
      <c r="F9" s="2"/>
    </row>
    <row r="10" spans="1:6" x14ac:dyDescent="0.35">
      <c r="B10" s="2"/>
      <c r="C10" s="2"/>
      <c r="D10" s="2"/>
      <c r="E10" s="2"/>
      <c r="F10" s="2"/>
    </row>
    <row r="11" spans="1:6" x14ac:dyDescent="0.35">
      <c r="B11" s="2"/>
      <c r="C11" s="2"/>
      <c r="D11" s="2"/>
      <c r="E11" s="2"/>
      <c r="F11" s="2"/>
    </row>
    <row r="12" spans="1:6" x14ac:dyDescent="0.35">
      <c r="B12" s="2"/>
      <c r="C12" s="2"/>
      <c r="D12" s="2"/>
      <c r="E12" s="2"/>
      <c r="F12" s="2"/>
    </row>
    <row r="13" spans="1:6" x14ac:dyDescent="0.35">
      <c r="B13" s="2"/>
      <c r="C13" s="2"/>
      <c r="D13" s="2"/>
      <c r="E13" s="2"/>
      <c r="F13" s="2"/>
    </row>
    <row r="14" spans="1:6" x14ac:dyDescent="0.35">
      <c r="B14" s="2"/>
      <c r="C14" s="2"/>
      <c r="D14" s="2"/>
      <c r="E14" s="2"/>
      <c r="F14" s="2"/>
    </row>
    <row r="15" spans="1:6" x14ac:dyDescent="0.35">
      <c r="B15" s="2"/>
      <c r="C15" s="2"/>
      <c r="D15" s="2"/>
      <c r="E15" s="2"/>
      <c r="F15" s="2"/>
    </row>
    <row r="16" spans="1:6" x14ac:dyDescent="0.35">
      <c r="B16" s="2"/>
      <c r="C16" s="2"/>
      <c r="D16" s="2"/>
      <c r="E16" s="2"/>
      <c r="F16" s="2"/>
    </row>
    <row r="17" spans="2:6" x14ac:dyDescent="0.35">
      <c r="B17" s="2"/>
      <c r="C17" s="2"/>
      <c r="D17" s="2"/>
      <c r="E17" s="2"/>
      <c r="F17" s="2"/>
    </row>
    <row r="18" spans="2:6" x14ac:dyDescent="0.35">
      <c r="B18" s="2"/>
      <c r="C18" s="2"/>
      <c r="D18" s="2"/>
      <c r="E18" s="2"/>
      <c r="F18" s="2"/>
    </row>
    <row r="19" spans="2:6" x14ac:dyDescent="0.35">
      <c r="B19" s="2"/>
      <c r="C19" s="2"/>
      <c r="D19" s="2"/>
      <c r="E19" s="2"/>
      <c r="F19" s="2"/>
    </row>
    <row r="20" spans="2:6" x14ac:dyDescent="0.35">
      <c r="B20" s="2"/>
      <c r="C20" s="2"/>
      <c r="D20" s="2"/>
      <c r="E20" s="2"/>
      <c r="F20" s="2"/>
    </row>
    <row r="21" spans="2:6" x14ac:dyDescent="0.35">
      <c r="B21" s="2"/>
      <c r="C21" s="2"/>
      <c r="D21" s="2"/>
      <c r="E21" s="2"/>
      <c r="F21" s="2"/>
    </row>
    <row r="22" spans="2:6" x14ac:dyDescent="0.35">
      <c r="B22" s="2"/>
      <c r="C22" s="2"/>
      <c r="D22" s="2"/>
      <c r="E22" s="2"/>
      <c r="F22" s="2"/>
    </row>
    <row r="23" spans="2:6" x14ac:dyDescent="0.35">
      <c r="B23" s="2"/>
      <c r="C23" s="2"/>
      <c r="D23" s="2"/>
      <c r="E23" s="2"/>
      <c r="F23" s="2"/>
    </row>
    <row r="24" spans="2:6" x14ac:dyDescent="0.35">
      <c r="B24" s="2"/>
      <c r="C24" s="2"/>
      <c r="D24" s="2"/>
      <c r="E24" s="2"/>
      <c r="F24" s="2"/>
    </row>
  </sheetData>
  <mergeCells count="1">
    <mergeCell ref="B1:F2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2026-04-13T12:15:48Z</dcterms:created>
  <dcterms:modified xsi:type="dcterms:W3CDTF">2026-04-14T10:35:09Z</dcterms:modified>
  <cp:category/>
</cp:coreProperties>
</file>